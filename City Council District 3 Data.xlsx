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<sst xmlns="http://schemas.openxmlformats.org/spreadsheetml/2006/main" count="27" uniqueCount="27">
  <si>
    <t>Precinct Name</t>
  </si>
  <si>
    <t>Precinct #</t>
  </si>
  <si>
    <t>CountyFYP</t>
  </si>
  <si>
    <t>GEOID20</t>
  </si>
  <si>
    <t xml:space="preserve">Registered Voters - Total             </t>
  </si>
  <si>
    <t>Total 2014</t>
  </si>
  <si>
    <t>Robinson 2014</t>
  </si>
  <si>
    <t>Hennessee 2014</t>
  </si>
  <si>
    <t>Shexnayder 2014</t>
  </si>
  <si>
    <t>Opponents 2014</t>
  </si>
  <si>
    <t>Precinct %Total 2014</t>
  </si>
  <si>
    <t>Total 2018</t>
  </si>
  <si>
    <t>Robinson 2018</t>
  </si>
  <si>
    <t>Iley 2018</t>
  </si>
  <si>
    <t>Schexnayder</t>
  </si>
  <si>
    <t>Opponents 2018</t>
  </si>
  <si>
    <t>Precinct % Total 2018</t>
  </si>
  <si>
    <t>Votes Lost Between 2014-2018</t>
  </si>
  <si>
    <t>WILLOWBROOK BAPT CH</t>
  </si>
  <si>
    <t>THE WHITESBURG CTR_</t>
  </si>
  <si>
    <t>WEATHERLY HGTS BAPT</t>
  </si>
  <si>
    <t>ALDERSGATE UMC</t>
  </si>
  <si>
    <t>FARLEY COMMUNITY CH</t>
  </si>
  <si>
    <t>HILLWOOD BAPT CH</t>
  </si>
  <si>
    <t>COMM_ FELLOWSHIP</t>
  </si>
  <si>
    <t>CLUBHOUSE ON GREEN MTN</t>
  </si>
  <si>
    <t>MARK RUSSELL REC CTR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</si>
</sst>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000"/>
    <numFmt numFmtId="165" formatCode="000"/>
    <numFmt numFmtId="166" formatCode="#,##0.000"/>
    <numFmt numFmtId="167" formatCode="010890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4" xfId="0" applyFont="1" applyNumberFormat="1"/>
    <xf borderId="0" fillId="0" fontId="1" numFmtId="166" xfId="0" applyFont="1" applyNumberFormat="1"/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10" displayName="Precinct_Election_Results" name="Precinct_Election_Results" id="1">
  <tableColumns count="18">
    <tableColumn name="Precinct Name" id="1"/>
    <tableColumn name="Precinct #" id="2"/>
    <tableColumn name="CountyFYP" id="3"/>
    <tableColumn name="GEOID20" id="4"/>
    <tableColumn name="Registered Voters - Total             " id="5"/>
    <tableColumn name="Total 2014" id="6"/>
    <tableColumn name="Robinson 2014" id="7"/>
    <tableColumn name="Hennessee 2014" id="8"/>
    <tableColumn name="Shexnayder 2014" id="9"/>
    <tableColumn name="Opponents 2014" id="10"/>
    <tableColumn name="Precinct %Total 2014" id="11"/>
    <tableColumn name="Total 2018" id="12"/>
    <tableColumn name="Robinson 2018" id="13"/>
    <tableColumn name="Iley 2018" id="14"/>
    <tableColumn name="Schexnayder" id="15"/>
    <tableColumn name="Opponents 2018" id="16"/>
    <tableColumn name="Precinct % Total 2018" id="17"/>
    <tableColumn name="Votes Lost Between 2014-2018" id="1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16.25"/>
    <col customWidth="1" min="3" max="3" width="16.88"/>
    <col customWidth="1" min="4" max="4" width="15.38"/>
    <col customWidth="1" min="5" max="5" width="32.25"/>
    <col customWidth="1" min="6" max="6" width="16.63"/>
    <col customWidth="1" min="7" max="7" width="19.88"/>
    <col customWidth="1" min="8" max="8" width="21.25"/>
    <col customWidth="1" min="9" max="9" width="21.5"/>
    <col customWidth="1" min="10" max="10" width="21.0"/>
    <col customWidth="1" min="11" max="11" width="24.38"/>
    <col customWidth="1" min="12" max="12" width="16.63"/>
    <col customWidth="1" min="13" max="13" width="19.88"/>
    <col customWidth="1" min="14" max="14" width="15.38"/>
    <col customWidth="1" min="15" max="15" width="18.25"/>
    <col customWidth="1" min="16" max="16" width="21.0"/>
    <col customWidth="1" min="17" max="17" width="24.75"/>
    <col customWidth="1" min="18" max="18" width="31.88"/>
  </cols>
  <sheetData>
    <row r="1" ht="22.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T1" s="6"/>
      <c r="V1" s="6"/>
      <c r="X1" s="6"/>
      <c r="Y1" s="6"/>
      <c r="AA1" s="7"/>
      <c r="AC1" s="7"/>
      <c r="AE1" s="7"/>
      <c r="AG1" s="7"/>
      <c r="AI1" s="6"/>
      <c r="AK1" s="6"/>
      <c r="AN1" s="6"/>
      <c r="AP1" s="6"/>
      <c r="AQ1" s="6"/>
    </row>
    <row r="2" ht="22.5" customHeight="1">
      <c r="A2" s="8" t="s">
        <v>18</v>
      </c>
      <c r="B2" s="9">
        <v>15.0</v>
      </c>
      <c r="C2" s="10">
        <v>89.0</v>
      </c>
      <c r="D2" s="11">
        <v>15.0</v>
      </c>
      <c r="E2" s="12">
        <v>6112.0</v>
      </c>
      <c r="F2" s="12">
        <f t="shared" ref="F2:F10" si="1">SUM(G2:I2)</f>
        <v>1144</v>
      </c>
      <c r="G2" s="12">
        <v>516.0</v>
      </c>
      <c r="H2" s="12">
        <f>247+274</f>
        <v>521</v>
      </c>
      <c r="I2" s="13">
        <v>107.0</v>
      </c>
      <c r="J2" s="12">
        <v>628.0</v>
      </c>
      <c r="K2" s="14">
        <f t="shared" ref="K2:K10" si="2">F2/4826</f>
        <v>0.2370493162</v>
      </c>
      <c r="L2" s="12">
        <f t="shared" ref="L2:L9" si="3">M2+P2</f>
        <v>844</v>
      </c>
      <c r="M2" s="12">
        <v>607.0</v>
      </c>
      <c r="N2" s="12">
        <f>73+93</f>
        <v>166</v>
      </c>
      <c r="O2" s="13">
        <v>71.0</v>
      </c>
      <c r="P2" s="12">
        <v>237.0</v>
      </c>
      <c r="Q2" s="14">
        <f t="shared" ref="Q2:Q10" si="4">L2/3878</f>
        <v>0.2176379577</v>
      </c>
      <c r="R2" s="12">
        <f t="shared" ref="R2:R10" si="5">F2-L2</f>
        <v>300</v>
      </c>
      <c r="T2" s="6"/>
      <c r="V2" s="6"/>
      <c r="X2" s="6"/>
      <c r="Y2" s="6"/>
      <c r="AA2" s="7"/>
      <c r="AC2" s="7"/>
      <c r="AE2" s="7"/>
      <c r="AG2" s="7"/>
      <c r="AI2" s="6"/>
      <c r="AK2" s="6"/>
      <c r="AL2" s="6"/>
      <c r="AM2" s="6"/>
      <c r="AN2" s="6"/>
      <c r="AO2" s="6"/>
      <c r="AP2" s="6"/>
      <c r="AQ2" s="6"/>
      <c r="BL2" s="15">
        <v>1170.0</v>
      </c>
      <c r="BM2" s="15">
        <v>2546.0</v>
      </c>
      <c r="BN2" s="15">
        <v>76.0</v>
      </c>
      <c r="BO2" s="15">
        <v>0.0</v>
      </c>
      <c r="BP2" s="15">
        <v>1169.0</v>
      </c>
      <c r="BQ2" s="15">
        <v>2534.0</v>
      </c>
      <c r="BR2" s="15">
        <v>84.0</v>
      </c>
      <c r="BS2" s="15">
        <v>0.0</v>
      </c>
      <c r="BT2" s="15">
        <v>1173.0</v>
      </c>
      <c r="BU2" s="15">
        <v>2534.0</v>
      </c>
      <c r="BV2" s="15">
        <v>77.0</v>
      </c>
      <c r="BW2" s="15">
        <v>0.0</v>
      </c>
      <c r="BX2" s="15">
        <v>1180.0</v>
      </c>
      <c r="BY2" s="15">
        <v>2526.0</v>
      </c>
      <c r="BZ2" s="15">
        <v>77.0</v>
      </c>
      <c r="CA2" s="15">
        <v>2.0</v>
      </c>
      <c r="CB2" s="15">
        <v>1186.0</v>
      </c>
      <c r="CC2" s="15">
        <v>2528.0</v>
      </c>
      <c r="CD2" s="15">
        <v>103.0</v>
      </c>
      <c r="CE2" s="15">
        <v>0.0</v>
      </c>
      <c r="CF2" s="15">
        <v>1160.0</v>
      </c>
      <c r="CG2" s="15">
        <v>2579.0</v>
      </c>
      <c r="CH2" s="15">
        <v>73.0</v>
      </c>
      <c r="CI2" s="15">
        <v>2.0</v>
      </c>
      <c r="CJ2" s="15">
        <v>1137.0</v>
      </c>
      <c r="CK2" s="15">
        <v>2560.0</v>
      </c>
      <c r="CL2" s="15">
        <v>74.0</v>
      </c>
      <c r="CM2" s="15">
        <v>0.0</v>
      </c>
      <c r="CN2" s="15">
        <v>1157.0</v>
      </c>
      <c r="CO2" s="15">
        <v>2575.0</v>
      </c>
      <c r="CP2" s="15">
        <v>71.0</v>
      </c>
      <c r="CQ2" s="15">
        <v>0.0</v>
      </c>
      <c r="CR2" s="15">
        <v>1145.0</v>
      </c>
      <c r="CS2" s="15">
        <v>2549.0</v>
      </c>
      <c r="CT2" s="15">
        <v>78.0</v>
      </c>
      <c r="CU2" s="15">
        <v>1.0</v>
      </c>
      <c r="CV2" s="15">
        <v>1163.0</v>
      </c>
      <c r="CW2" s="15">
        <v>2549.0</v>
      </c>
      <c r="CX2" s="15">
        <v>69.0</v>
      </c>
      <c r="CY2" s="15">
        <v>0.0</v>
      </c>
      <c r="CZ2" s="15">
        <v>1173.0</v>
      </c>
      <c r="DA2" s="15">
        <v>2531.0</v>
      </c>
      <c r="DB2" s="15">
        <v>73.0</v>
      </c>
      <c r="DC2" s="15">
        <v>1.0</v>
      </c>
      <c r="DD2" s="15">
        <v>1186.0</v>
      </c>
      <c r="DE2" s="15">
        <v>2568.0</v>
      </c>
      <c r="DF2" s="15">
        <v>71.0</v>
      </c>
      <c r="DG2" s="15">
        <v>0.0</v>
      </c>
      <c r="DH2" s="15">
        <v>1152.0</v>
      </c>
      <c r="DI2" s="15">
        <v>2565.0</v>
      </c>
      <c r="DJ2" s="15">
        <v>65.0</v>
      </c>
      <c r="DK2" s="15">
        <v>0.0</v>
      </c>
      <c r="DL2" s="15">
        <v>1161.0</v>
      </c>
      <c r="DM2" s="15">
        <v>2375.0</v>
      </c>
      <c r="DN2" s="15">
        <v>630.0</v>
      </c>
      <c r="DO2" s="15">
        <v>32.0</v>
      </c>
      <c r="DP2" s="15">
        <v>0.0</v>
      </c>
      <c r="DQ2" s="15">
        <v>754.0</v>
      </c>
      <c r="DR2" s="15">
        <v>1137.0</v>
      </c>
      <c r="DS2" s="15">
        <v>2267.0</v>
      </c>
      <c r="DT2" s="15">
        <v>229.0</v>
      </c>
      <c r="DU2" s="15">
        <v>5.0</v>
      </c>
      <c r="DV2" s="15">
        <f>DR2+DS2+DT2+DU2</f>
        <v>3638</v>
      </c>
      <c r="DW2" s="15">
        <v>5.0</v>
      </c>
      <c r="DX2" s="15">
        <v>148.0</v>
      </c>
      <c r="ER2" s="15">
        <v>2477.0</v>
      </c>
      <c r="ES2" s="15">
        <v>590.0</v>
      </c>
      <c r="ET2" s="15">
        <v>34.0</v>
      </c>
      <c r="EU2" s="15">
        <v>2.0</v>
      </c>
      <c r="EV2" s="15">
        <v>688.0</v>
      </c>
      <c r="FJ2" s="15">
        <v>2300.0</v>
      </c>
      <c r="FK2" s="15">
        <v>569.0</v>
      </c>
      <c r="FL2" s="15">
        <v>1.0</v>
      </c>
      <c r="FM2" s="15">
        <v>921.0</v>
      </c>
      <c r="FN2" s="16">
        <f>X2/D2</f>
        <v>0</v>
      </c>
      <c r="FO2" s="16">
        <f>Y2/D2</f>
        <v>0</v>
      </c>
      <c r="FP2" s="16">
        <f>AA2/D2</f>
        <v>0</v>
      </c>
      <c r="FQ2" s="16">
        <f>AB2/D2</f>
        <v>0</v>
      </c>
      <c r="FR2" s="16">
        <f>DR2/DV2</f>
        <v>0.3125343595</v>
      </c>
      <c r="FS2" s="16">
        <f>DS2/DV2</f>
        <v>0.6231445849</v>
      </c>
      <c r="FT2" s="16">
        <f>FO2-FN2</f>
        <v>0</v>
      </c>
      <c r="FU2" s="16">
        <f>FS2-FR2</f>
        <v>0.3106102254</v>
      </c>
      <c r="FV2" s="16">
        <f>FT2-FU2</f>
        <v>-0.3106102254</v>
      </c>
      <c r="FW2" s="16">
        <f>FP2-FQ2</f>
        <v>0</v>
      </c>
    </row>
    <row r="3" ht="22.5" customHeight="1">
      <c r="A3" s="8" t="s">
        <v>19</v>
      </c>
      <c r="B3" s="9">
        <v>18.0</v>
      </c>
      <c r="C3" s="10">
        <v>89.0</v>
      </c>
      <c r="D3" s="11">
        <v>18.0</v>
      </c>
      <c r="E3" s="12">
        <v>4694.0</v>
      </c>
      <c r="F3" s="12">
        <f t="shared" si="1"/>
        <v>330</v>
      </c>
      <c r="G3" s="12">
        <v>138.0</v>
      </c>
      <c r="H3" s="13">
        <v>163.0</v>
      </c>
      <c r="I3" s="13">
        <v>29.0</v>
      </c>
      <c r="J3" s="12">
        <v>192.0</v>
      </c>
      <c r="K3" s="14">
        <f t="shared" si="2"/>
        <v>0.06837961044</v>
      </c>
      <c r="L3" s="12">
        <f t="shared" si="3"/>
        <v>337</v>
      </c>
      <c r="M3" s="12">
        <v>239.0</v>
      </c>
      <c r="N3" s="12">
        <f>17+32</f>
        <v>49</v>
      </c>
      <c r="O3" s="13">
        <v>49.0</v>
      </c>
      <c r="P3" s="12">
        <v>98.0</v>
      </c>
      <c r="Q3" s="14">
        <f t="shared" si="4"/>
        <v>0.08690046416</v>
      </c>
      <c r="R3" s="12">
        <f t="shared" si="5"/>
        <v>-7</v>
      </c>
      <c r="T3" s="6"/>
      <c r="V3" s="6"/>
      <c r="X3" s="6"/>
      <c r="Y3" s="6"/>
      <c r="AA3" s="7"/>
      <c r="AC3" s="7"/>
      <c r="AE3" s="7"/>
      <c r="AG3" s="7"/>
      <c r="AI3" s="6"/>
      <c r="AK3" s="6"/>
      <c r="AL3" s="6"/>
      <c r="AM3" s="6"/>
      <c r="AN3" s="6"/>
      <c r="AO3" s="6"/>
      <c r="AP3" s="6"/>
      <c r="AQ3" s="6"/>
    </row>
    <row r="4" ht="22.5" customHeight="1">
      <c r="A4" s="8" t="s">
        <v>20</v>
      </c>
      <c r="B4" s="9">
        <v>19.0</v>
      </c>
      <c r="C4" s="10">
        <v>89.0</v>
      </c>
      <c r="D4" s="11">
        <v>19.0</v>
      </c>
      <c r="E4" s="12">
        <v>4442.0</v>
      </c>
      <c r="F4" s="12">
        <f t="shared" si="1"/>
        <v>870</v>
      </c>
      <c r="G4" s="12">
        <v>447.0</v>
      </c>
      <c r="H4" s="13">
        <v>361.0</v>
      </c>
      <c r="I4" s="13">
        <v>62.0</v>
      </c>
      <c r="J4" s="12">
        <v>423.0</v>
      </c>
      <c r="K4" s="14">
        <f t="shared" si="2"/>
        <v>0.1802735184</v>
      </c>
      <c r="L4" s="12">
        <f t="shared" si="3"/>
        <v>608</v>
      </c>
      <c r="M4" s="12">
        <v>464.0</v>
      </c>
      <c r="N4" s="12">
        <f>53+33</f>
        <v>86</v>
      </c>
      <c r="O4" s="13">
        <v>58.0</v>
      </c>
      <c r="P4" s="12">
        <v>144.0</v>
      </c>
      <c r="Q4" s="14">
        <f t="shared" si="4"/>
        <v>0.1567818463</v>
      </c>
      <c r="R4" s="12">
        <f t="shared" si="5"/>
        <v>262</v>
      </c>
      <c r="T4" s="6"/>
      <c r="V4" s="6"/>
      <c r="X4" s="6"/>
      <c r="Y4" s="6"/>
      <c r="AA4" s="7"/>
      <c r="AC4" s="7"/>
      <c r="AE4" s="7"/>
      <c r="AG4" s="7"/>
      <c r="AI4" s="6"/>
      <c r="AK4" s="6"/>
      <c r="AL4" s="6"/>
      <c r="AM4" s="6"/>
      <c r="AN4" s="6"/>
      <c r="AO4" s="6"/>
      <c r="AP4" s="6"/>
      <c r="AQ4" s="6"/>
    </row>
    <row r="5" ht="22.5" customHeight="1">
      <c r="A5" s="8" t="s">
        <v>21</v>
      </c>
      <c r="B5" s="9">
        <v>20.0</v>
      </c>
      <c r="C5" s="10">
        <v>89.0</v>
      </c>
      <c r="D5" s="11">
        <v>20.0</v>
      </c>
      <c r="E5" s="12">
        <v>4992.0</v>
      </c>
      <c r="F5" s="12">
        <f t="shared" si="1"/>
        <v>746</v>
      </c>
      <c r="G5" s="12">
        <v>318.0</v>
      </c>
      <c r="H5" s="13">
        <v>359.0</v>
      </c>
      <c r="I5" s="13">
        <v>69.0</v>
      </c>
      <c r="J5" s="12">
        <v>428.0</v>
      </c>
      <c r="K5" s="14">
        <f t="shared" si="2"/>
        <v>0.1545793618</v>
      </c>
      <c r="L5" s="12">
        <f t="shared" si="3"/>
        <v>589</v>
      </c>
      <c r="M5" s="12">
        <v>440.0</v>
      </c>
      <c r="N5" s="12">
        <f>80+29</f>
        <v>109</v>
      </c>
      <c r="O5" s="13">
        <v>40.0</v>
      </c>
      <c r="P5" s="12">
        <v>149.0</v>
      </c>
      <c r="Q5" s="14">
        <f t="shared" si="4"/>
        <v>0.1518824136</v>
      </c>
      <c r="R5" s="12">
        <f t="shared" si="5"/>
        <v>157</v>
      </c>
      <c r="T5" s="6"/>
      <c r="V5" s="6"/>
      <c r="X5" s="6"/>
      <c r="Y5" s="6"/>
      <c r="AA5" s="7"/>
      <c r="AC5" s="7"/>
      <c r="AE5" s="7"/>
      <c r="AG5" s="7"/>
      <c r="AI5" s="6"/>
      <c r="AK5" s="6"/>
      <c r="AL5" s="6"/>
      <c r="AM5" s="6"/>
      <c r="AN5" s="6"/>
      <c r="AO5" s="6"/>
      <c r="AP5" s="6"/>
      <c r="AQ5" s="6"/>
    </row>
    <row r="6" ht="22.5" customHeight="1">
      <c r="A6" s="8" t="s">
        <v>22</v>
      </c>
      <c r="B6" s="9">
        <v>21.0</v>
      </c>
      <c r="C6" s="10">
        <v>89.0</v>
      </c>
      <c r="D6" s="11">
        <v>21.0</v>
      </c>
      <c r="E6" s="12">
        <v>6242.0</v>
      </c>
      <c r="F6" s="12">
        <f t="shared" si="1"/>
        <v>414</v>
      </c>
      <c r="G6" s="12">
        <v>171.0</v>
      </c>
      <c r="H6" s="13">
        <v>202.0</v>
      </c>
      <c r="I6" s="13">
        <v>41.0</v>
      </c>
      <c r="J6" s="12">
        <v>243.0</v>
      </c>
      <c r="K6" s="14">
        <f t="shared" si="2"/>
        <v>0.08578532947</v>
      </c>
      <c r="L6" s="12">
        <f t="shared" si="3"/>
        <v>425</v>
      </c>
      <c r="M6" s="12">
        <v>293.0</v>
      </c>
      <c r="N6" s="12">
        <f>59+26</f>
        <v>85</v>
      </c>
      <c r="O6" s="13">
        <v>47.0</v>
      </c>
      <c r="P6" s="12">
        <v>132.0</v>
      </c>
      <c r="Q6" s="14">
        <f t="shared" si="4"/>
        <v>0.1095925735</v>
      </c>
      <c r="R6" s="12">
        <f t="shared" si="5"/>
        <v>-11</v>
      </c>
      <c r="T6" s="6"/>
      <c r="V6" s="6"/>
      <c r="X6" s="6"/>
      <c r="Y6" s="6"/>
      <c r="AA6" s="7"/>
      <c r="AC6" s="7"/>
      <c r="AE6" s="7"/>
      <c r="AG6" s="7"/>
      <c r="AI6" s="6"/>
      <c r="AK6" s="6"/>
      <c r="AL6" s="6"/>
      <c r="AM6" s="6"/>
      <c r="AN6" s="6"/>
      <c r="AO6" s="6"/>
      <c r="AP6" s="6"/>
      <c r="AQ6" s="6"/>
    </row>
    <row r="7" ht="22.5" customHeight="1">
      <c r="A7" s="8" t="s">
        <v>23</v>
      </c>
      <c r="B7" s="9">
        <v>23.0</v>
      </c>
      <c r="C7" s="10">
        <v>89.0</v>
      </c>
      <c r="D7" s="11">
        <v>23.0</v>
      </c>
      <c r="E7" s="12">
        <v>5245.0</v>
      </c>
      <c r="F7" s="12">
        <f t="shared" si="1"/>
        <v>564</v>
      </c>
      <c r="G7" s="12">
        <v>254.0</v>
      </c>
      <c r="H7" s="13">
        <v>267.0</v>
      </c>
      <c r="I7" s="13">
        <v>43.0</v>
      </c>
      <c r="J7" s="12">
        <v>310.0</v>
      </c>
      <c r="K7" s="14">
        <f t="shared" si="2"/>
        <v>0.1168669706</v>
      </c>
      <c r="L7" s="12">
        <f t="shared" si="3"/>
        <v>443</v>
      </c>
      <c r="M7" s="12">
        <v>329.0</v>
      </c>
      <c r="N7" s="12">
        <v>79.0</v>
      </c>
      <c r="O7" s="13">
        <v>35.0</v>
      </c>
      <c r="P7" s="12">
        <v>114.0</v>
      </c>
      <c r="Q7" s="14">
        <f t="shared" si="4"/>
        <v>0.1142341413</v>
      </c>
      <c r="R7" s="12">
        <f t="shared" si="5"/>
        <v>121</v>
      </c>
      <c r="T7" s="6"/>
      <c r="V7" s="6"/>
      <c r="X7" s="6"/>
      <c r="Y7" s="6"/>
      <c r="AA7" s="7"/>
      <c r="AC7" s="7"/>
      <c r="AE7" s="7"/>
      <c r="AG7" s="7"/>
      <c r="AI7" s="6"/>
      <c r="AK7" s="6"/>
      <c r="AL7" s="6"/>
      <c r="AM7" s="6"/>
      <c r="AN7" s="6"/>
      <c r="AO7" s="6"/>
      <c r="AP7" s="6"/>
      <c r="AQ7" s="6"/>
    </row>
    <row r="8" ht="22.5" customHeight="1">
      <c r="A8" s="8" t="s">
        <v>24</v>
      </c>
      <c r="B8" s="9">
        <v>26.0</v>
      </c>
      <c r="C8" s="10">
        <v>89.0</v>
      </c>
      <c r="D8" s="11">
        <v>26.0</v>
      </c>
      <c r="E8" s="12">
        <v>4784.0</v>
      </c>
      <c r="F8" s="12">
        <f t="shared" si="1"/>
        <v>622</v>
      </c>
      <c r="G8" s="12">
        <v>296.0</v>
      </c>
      <c r="H8" s="13">
        <v>292.0</v>
      </c>
      <c r="I8" s="13">
        <v>34.0</v>
      </c>
      <c r="J8" s="12">
        <v>326.0</v>
      </c>
      <c r="K8" s="14">
        <f t="shared" si="2"/>
        <v>0.1288852051</v>
      </c>
      <c r="L8" s="12">
        <f t="shared" si="3"/>
        <v>486</v>
      </c>
      <c r="M8" s="12">
        <v>360.0</v>
      </c>
      <c r="N8" s="12">
        <f>13+67</f>
        <v>80</v>
      </c>
      <c r="O8" s="13">
        <v>46.0</v>
      </c>
      <c r="P8" s="12">
        <v>126.0</v>
      </c>
      <c r="Q8" s="14">
        <f t="shared" si="4"/>
        <v>0.1253223311</v>
      </c>
      <c r="R8" s="12">
        <f t="shared" si="5"/>
        <v>136</v>
      </c>
      <c r="T8" s="6"/>
      <c r="V8" s="6"/>
      <c r="X8" s="6"/>
      <c r="Y8" s="6"/>
      <c r="AA8" s="7"/>
      <c r="AC8" s="7"/>
      <c r="AE8" s="7"/>
      <c r="AG8" s="7"/>
      <c r="AI8" s="6"/>
      <c r="AK8" s="6"/>
      <c r="AL8" s="6"/>
      <c r="AM8" s="6"/>
      <c r="AN8" s="6"/>
      <c r="AO8" s="6"/>
      <c r="AP8" s="6"/>
      <c r="AQ8" s="6"/>
    </row>
    <row r="9" ht="22.5" customHeight="1">
      <c r="A9" s="8" t="s">
        <v>25</v>
      </c>
      <c r="B9" s="9">
        <v>29.0</v>
      </c>
      <c r="C9" s="10">
        <v>89.0</v>
      </c>
      <c r="D9" s="11">
        <v>29.0</v>
      </c>
      <c r="E9" s="12">
        <v>1322.0</v>
      </c>
      <c r="F9" s="12">
        <f t="shared" si="1"/>
        <v>121</v>
      </c>
      <c r="G9" s="12">
        <v>73.0</v>
      </c>
      <c r="H9" s="13">
        <v>46.0</v>
      </c>
      <c r="I9" s="13">
        <v>2.0</v>
      </c>
      <c r="J9" s="12">
        <v>48.0</v>
      </c>
      <c r="K9" s="14">
        <f t="shared" si="2"/>
        <v>0.02507252383</v>
      </c>
      <c r="L9" s="12">
        <f t="shared" si="3"/>
        <v>119</v>
      </c>
      <c r="M9" s="12">
        <v>88.0</v>
      </c>
      <c r="N9" s="12">
        <v>16.0</v>
      </c>
      <c r="O9" s="13">
        <v>15.0</v>
      </c>
      <c r="P9" s="12">
        <v>31.0</v>
      </c>
      <c r="Q9" s="14">
        <f t="shared" si="4"/>
        <v>0.03068592058</v>
      </c>
      <c r="R9" s="12">
        <f t="shared" si="5"/>
        <v>2</v>
      </c>
      <c r="T9" s="6"/>
      <c r="V9" s="6"/>
      <c r="X9" s="6"/>
      <c r="Y9" s="6"/>
      <c r="AA9" s="7"/>
      <c r="AC9" s="7"/>
      <c r="AE9" s="7"/>
      <c r="AG9" s="7"/>
      <c r="AI9" s="6"/>
      <c r="AK9" s="6"/>
      <c r="AL9" s="6"/>
      <c r="AM9" s="6"/>
      <c r="AN9" s="6"/>
      <c r="AO9" s="6"/>
      <c r="AP9" s="6"/>
      <c r="AQ9" s="6"/>
    </row>
    <row r="10" ht="22.5" customHeight="1">
      <c r="A10" s="8" t="s">
        <v>26</v>
      </c>
      <c r="B10" s="9">
        <v>61.0</v>
      </c>
      <c r="C10" s="10">
        <v>89.0</v>
      </c>
      <c r="D10" s="11">
        <v>61.0</v>
      </c>
      <c r="E10" s="12">
        <v>7658.0</v>
      </c>
      <c r="F10" s="12">
        <f t="shared" si="1"/>
        <v>15</v>
      </c>
      <c r="G10" s="13">
        <v>4.0</v>
      </c>
      <c r="H10" s="13">
        <v>9.0</v>
      </c>
      <c r="I10" s="13">
        <v>2.0</v>
      </c>
      <c r="J10" s="13">
        <v>11.0</v>
      </c>
      <c r="K10" s="14">
        <f t="shared" si="2"/>
        <v>0.003108164111</v>
      </c>
      <c r="L10" s="12">
        <f>M10+N10+O10</f>
        <v>27</v>
      </c>
      <c r="M10" s="12">
        <v>18.0</v>
      </c>
      <c r="N10" s="12">
        <v>7.0</v>
      </c>
      <c r="O10" s="12">
        <v>2.0</v>
      </c>
      <c r="P10" s="12">
        <f>N10+O10</f>
        <v>9</v>
      </c>
      <c r="Q10" s="14">
        <f t="shared" si="4"/>
        <v>0.006962351728</v>
      </c>
      <c r="R10" s="12">
        <f t="shared" si="5"/>
        <v>-12</v>
      </c>
      <c r="S10" s="7"/>
      <c r="T10" s="6"/>
      <c r="U10" s="7"/>
      <c r="V10" s="6"/>
      <c r="W10" s="6"/>
      <c r="X10" s="6"/>
      <c r="Y10" s="6"/>
      <c r="Z10" s="6"/>
      <c r="AA10" s="6"/>
      <c r="AB10" s="6"/>
      <c r="AC10" s="6"/>
      <c r="AD10" s="6"/>
      <c r="AE10" s="6"/>
      <c r="AG10" s="7"/>
      <c r="AI10" s="6"/>
      <c r="AK10" s="6"/>
      <c r="AL10" s="6"/>
      <c r="AM10" s="6"/>
      <c r="AN10" s="6"/>
      <c r="AO10" s="6"/>
      <c r="AP10" s="6"/>
      <c r="AQ10" s="6"/>
    </row>
  </sheetData>
  <dataValidations>
    <dataValidation type="custom" allowBlank="1" showDropDown="1" sqref="B2:R1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